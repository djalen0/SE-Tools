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24"/>
    </font>
    <font>
      <name val="Arial"/>
      <sz val="12"/>
    </font>
    <font>
      <name val="Arial"/>
      <sz val="18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8ACBFF"/>
      </patternFill>
    </fill>
    <fill>
      <patternFill patternType="solid">
        <fgColor rgb="FFB3D7FF"/>
      </patternFill>
    </fill>
    <fill>
      <patternFill patternType="solid">
        <fgColor rgb="FF66CDFF"/>
      </patternFill>
    </fill>
  </fills>
  <borders count="2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" fillId="3" borderId="10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9"/>
  <sheetViews>
    <sheetView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6.25" customWidth="1" min="4" max="4"/>
    <col width="9.039999999999999" customWidth="1" min="5" max="5"/>
    <col width="8.619999999999999" customWidth="1" min="6" max="6"/>
    <col width="7.93" customWidth="1" min="7" max="7"/>
    <col width="4.87" customWidth="1" min="8" max="8"/>
    <col width="4.87" customWidth="1" min="9" max="9"/>
    <col width="15" customWidth="1" min="10" max="10"/>
  </cols>
  <sheetData>
    <row r="1">
      <c r="B1" s="18" t="inlineStr">
        <is>
          <t>PAGE_TITLE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  <c r="O1" s="4" t="inlineStr">
        <is>
          <t>Venue</t>
        </is>
      </c>
      <c r="P1" s="4" t="inlineStr">
        <is>
          <t>PAGE_VENUE</t>
        </is>
      </c>
    </row>
    <row r="2">
      <c r="B2" s="21" t="n"/>
      <c r="N2" s="22" t="n"/>
      <c r="O2" s="4" t="inlineStr">
        <is>
          <t>Date</t>
        </is>
      </c>
      <c r="P2" s="4" t="inlineStr">
        <is>
          <t>PAGE_DATE</t>
        </is>
      </c>
    </row>
    <row r="3">
      <c r="B3" s="21" t="n"/>
      <c r="N3" s="22" t="n"/>
      <c r="O3" s="4" t="inlineStr">
        <is>
          <t>three</t>
        </is>
      </c>
      <c r="P3" s="4" t="inlineStr">
        <is>
          <t>PAGE_THREE</t>
        </is>
      </c>
    </row>
    <row r="4">
      <c r="B4" s="21" t="n"/>
      <c r="N4" s="22" t="n"/>
      <c r="O4" s="4" t="inlineStr">
        <is>
          <t>four</t>
        </is>
      </c>
      <c r="P4" s="4" t="inlineStr">
        <is>
          <t>PAGE_FOUR</t>
        </is>
      </c>
    </row>
    <row r="5">
      <c r="B5" s="23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5" t="n"/>
      <c r="O5" s="4" t="inlineStr">
        <is>
          <t>five</t>
        </is>
      </c>
      <c r="P5" s="4" t="inlineStr">
        <is>
          <t>PAGE_FIVE</t>
        </is>
      </c>
    </row>
    <row r="7">
      <c r="D7" s="26" t="inlineStr">
        <is>
          <t>SEC1_TITLE</t>
        </is>
      </c>
      <c r="E7" s="27" t="n"/>
      <c r="F7" s="27" t="n"/>
      <c r="G7" s="27" t="n"/>
      <c r="H7" s="27" t="n"/>
      <c r="I7" s="27" t="n"/>
      <c r="J7" s="27" t="n"/>
      <c r="K7" s="28" t="n"/>
    </row>
    <row r="8">
      <c r="D8" s="14" t="inlineStr">
        <is>
          <t>Cab</t>
        </is>
      </c>
      <c r="E8" s="14" t="inlineStr">
        <is>
          <t>Model</t>
        </is>
      </c>
      <c r="F8" s="14" t="inlineStr">
        <is>
          <t>H</t>
        </is>
      </c>
      <c r="G8" s="14" t="inlineStr">
        <is>
          <t>Splay</t>
        </is>
      </c>
      <c r="H8" s="14" t="inlineStr">
        <is>
          <t>CKT</t>
        </is>
      </c>
      <c r="I8" s="16" t="inlineStr">
        <is>
          <t>NFC</t>
        </is>
      </c>
      <c r="K8" s="15" t="inlineStr">
        <is>
          <t>Aim</t>
        </is>
      </c>
    </row>
    <row r="9">
      <c r="D9" s="16" t="inlineStr">
        <is>
          <t>SEC1_BOX1_NUM</t>
        </is>
      </c>
      <c r="E9" s="16">
        <f>CONCATENATE($D9,"_MODEL")</f>
        <v/>
      </c>
      <c r="F9" s="16">
        <f>CONCATENATE($D9,"_HORIZTONALDISPERSION")</f>
        <v/>
      </c>
      <c r="G9" s="16">
        <f>CONCATENATE($D9,"_ANGLE")</f>
        <v/>
      </c>
      <c r="H9" s="16">
        <f>CONCATENATE($D9,"_CIRCUIT")</f>
        <v/>
      </c>
      <c r="I9" s="16">
        <f>CONCATENATE($D9,"_NFC")</f>
        <v/>
      </c>
      <c r="K9" s="17" t="inlineStr">
        <is>
          <t>SEC1_AIM</t>
        </is>
      </c>
    </row>
    <row r="10">
      <c r="D10" s="16" t="inlineStr">
        <is>
          <t>SEC1_BOX2_NUM</t>
        </is>
      </c>
      <c r="E10" s="16">
        <f>CONCATENATE($D10,"_MODEL")</f>
        <v/>
      </c>
      <c r="F10" s="16">
        <f>CONCATENATE($D10,"_HORIZTONALDISPERSION")</f>
        <v/>
      </c>
      <c r="G10" s="16">
        <f>CONCATENATE($D10,"_ANGLE")</f>
        <v/>
      </c>
      <c r="H10" s="16">
        <f>CONCATENATE($D10,"_CIRCUIT")</f>
        <v/>
      </c>
      <c r="I10" s="16">
        <f>CONCATENATE($D10,"_NFC")</f>
        <v/>
      </c>
      <c r="K10" s="15" t="inlineStr">
        <is>
          <t>Slider</t>
        </is>
      </c>
    </row>
    <row r="11">
      <c r="D11" s="16" t="inlineStr">
        <is>
          <t>SEC1_BOX3_NUM</t>
        </is>
      </c>
      <c r="E11" s="16">
        <f>CONCATENATE($D11,"_MODEL")</f>
        <v/>
      </c>
      <c r="F11" s="16">
        <f>CONCATENATE($D11,"_HORIZTONALDISPERSION")</f>
        <v/>
      </c>
      <c r="G11" s="16">
        <f>CONCATENATE($D11,"_ANGLE")</f>
        <v/>
      </c>
      <c r="H11" s="16">
        <f>CONCATENATE($D11,"_CIRCUIT")</f>
        <v/>
      </c>
      <c r="I11" s="16">
        <f>CONCATENATE($D11,"_NFC")</f>
        <v/>
      </c>
      <c r="K11" s="17" t="inlineStr">
        <is>
          <t>SEC1_SLIDER</t>
        </is>
      </c>
    </row>
    <row r="12">
      <c r="D12" s="16" t="inlineStr">
        <is>
          <t>SEC1_BOX4_NUM</t>
        </is>
      </c>
      <c r="E12" s="16">
        <f>CONCATENATE($D12,"_MODEL")</f>
        <v/>
      </c>
      <c r="F12" s="16">
        <f>CONCATENATE($D12,"_HORIZTONALDISPERSION")</f>
        <v/>
      </c>
      <c r="G12" s="16">
        <f>CONCATENATE($D12,"_ANGLE")</f>
        <v/>
      </c>
      <c r="H12" s="16">
        <f>CONCATENATE($D12,"_CIRCUIT")</f>
        <v/>
      </c>
      <c r="I12" s="16">
        <f>CONCATENATE($D12,"_NFC")</f>
        <v/>
      </c>
      <c r="K12" s="15" t="inlineStr">
        <is>
          <t>Total Weight</t>
        </is>
      </c>
    </row>
    <row r="13">
      <c r="D13" s="16" t="inlineStr">
        <is>
          <t>SEC1_BOX5_NUM</t>
        </is>
      </c>
      <c r="E13" s="16">
        <f>CONCATENATE($D13,"_MODEL")</f>
        <v/>
      </c>
      <c r="F13" s="16">
        <f>CONCATENATE($D13,"_HORIZTONALDISPERSION")</f>
        <v/>
      </c>
      <c r="G13" s="16">
        <f>CONCATENATE($D13,"_ANGLE")</f>
        <v/>
      </c>
      <c r="H13" s="16">
        <f>CONCATENATE($D13,"_CIRCUIT")</f>
        <v/>
      </c>
      <c r="I13" s="16">
        <f>CONCATENATE($D13,"_NFC")</f>
        <v/>
      </c>
      <c r="K13" s="17" t="inlineStr">
        <is>
          <t>SEC1_TOTALWEIGHT</t>
        </is>
      </c>
    </row>
    <row r="14">
      <c r="D14" s="16" t="inlineStr">
        <is>
          <t>SEC1_BOX6_NUM</t>
        </is>
      </c>
      <c r="E14" s="16">
        <f>CONCATENATE($D14,"_MODEL")</f>
        <v/>
      </c>
      <c r="F14" s="16">
        <f>CONCATENATE($D14,"_HORIZTONALDISPERSION")</f>
        <v/>
      </c>
      <c r="G14" s="16">
        <f>CONCATENATE($D14,"_ANGLE")</f>
        <v/>
      </c>
      <c r="H14" s="16">
        <f>CONCATENATE($D14,"_CIRCUIT")</f>
        <v/>
      </c>
      <c r="I14" s="16">
        <f>CONCATENATE($D14,"_NFC")</f>
        <v/>
      </c>
      <c r="K14" s="15" t="inlineStr">
        <is>
          <t>Trim (T)</t>
        </is>
      </c>
    </row>
    <row r="15">
      <c r="D15" s="16" t="inlineStr">
        <is>
          <t>SEC1_BOX7_NUM</t>
        </is>
      </c>
      <c r="E15" s="16">
        <f>CONCATENATE($D15,"_MODEL")</f>
        <v/>
      </c>
      <c r="F15" s="16">
        <f>CONCATENATE($D15,"_HORIZTONALDISPERSION")</f>
        <v/>
      </c>
      <c r="G15" s="16">
        <f>CONCATENATE($D15,"_ANGLE")</f>
        <v/>
      </c>
      <c r="H15" s="16">
        <f>CONCATENATE($D15,"_CIRCUIT")</f>
        <v/>
      </c>
      <c r="I15" s="16">
        <f>CONCATENATE($D15,"_NFC")</f>
        <v/>
      </c>
      <c r="K15" s="17" t="inlineStr">
        <is>
          <t>SEC1_TRIMTOP</t>
        </is>
      </c>
    </row>
    <row r="16">
      <c r="D16" s="16" t="inlineStr">
        <is>
          <t>SEC1_BOX8_NUM</t>
        </is>
      </c>
      <c r="E16" s="16">
        <f>CONCATENATE($D16,"_MODEL")</f>
        <v/>
      </c>
      <c r="F16" s="16">
        <f>CONCATENATE($D16,"_HORIZTONALDISPERSION")</f>
        <v/>
      </c>
      <c r="G16" s="16">
        <f>CONCATENATE($D16,"_ANGLE")</f>
        <v/>
      </c>
      <c r="H16" s="16">
        <f>CONCATENATE($D16,"_CIRCUIT")</f>
        <v/>
      </c>
      <c r="I16" s="16">
        <f>CONCATENATE($D16,"_NFC")</f>
        <v/>
      </c>
      <c r="K16" s="15" t="inlineStr">
        <is>
          <t>Angle (T)</t>
        </is>
      </c>
    </row>
    <row r="17">
      <c r="D17" s="16" t="inlineStr">
        <is>
          <t>SEC1_BOX9_NUM</t>
        </is>
      </c>
      <c r="E17" s="16">
        <f>CONCATENATE($D17,"_MODEL")</f>
        <v/>
      </c>
      <c r="F17" s="16">
        <f>CONCATENATE($D17,"_HORIZTONALDISPERSION")</f>
        <v/>
      </c>
      <c r="G17" s="16">
        <f>CONCATENATE($D17,"_ANGLE")</f>
        <v/>
      </c>
      <c r="H17" s="16">
        <f>CONCATENATE($D17,"_CIRCUIT")</f>
        <v/>
      </c>
      <c r="I17" s="16">
        <f>CONCATENATE($D17,"_NFC")</f>
        <v/>
      </c>
      <c r="K17" s="17" t="inlineStr">
        <is>
          <t>SEC1_ANGLETOP</t>
        </is>
      </c>
    </row>
    <row r="18">
      <c r="D18" s="16" t="inlineStr">
        <is>
          <t>SEC1_BOX10_NUM</t>
        </is>
      </c>
      <c r="E18" s="16">
        <f>CONCATENATE($D18,"_MODEL")</f>
        <v/>
      </c>
      <c r="F18" s="16">
        <f>CONCATENATE($D18,"_HORIZTONALDISPERSION")</f>
        <v/>
      </c>
      <c r="G18" s="16">
        <f>CONCATENATE($D18,"_ANGLE")</f>
        <v/>
      </c>
      <c r="H18" s="16">
        <f>CONCATENATE($D18,"_CIRCUIT")</f>
        <v/>
      </c>
      <c r="I18" s="16">
        <f>CONCATENATE($D18,"_NFC")</f>
        <v/>
      </c>
      <c r="K18" s="15" t="inlineStr">
        <is>
          <t>Trim (B)</t>
        </is>
      </c>
    </row>
    <row r="19">
      <c r="D19" s="16" t="inlineStr">
        <is>
          <t>SEC1_BOX11_NUM</t>
        </is>
      </c>
      <c r="E19" s="16">
        <f>CONCATENATE($D19,"_MODEL")</f>
        <v/>
      </c>
      <c r="F19" s="16">
        <f>CONCATENATE($D19,"_HORIZTONALDISPERSION")</f>
        <v/>
      </c>
      <c r="G19" s="16">
        <f>CONCATENATE($D19,"_ANGLE")</f>
        <v/>
      </c>
      <c r="H19" s="16">
        <f>CONCATENATE($D19,"_CIRCUIT")</f>
        <v/>
      </c>
      <c r="I19" s="16">
        <f>CONCATENATE($D19,"_NFC")</f>
        <v/>
      </c>
      <c r="K19" s="17" t="inlineStr">
        <is>
          <t>SEC1_TRIMBOTTOM</t>
        </is>
      </c>
    </row>
    <row r="20">
      <c r="D20" s="16" t="inlineStr">
        <is>
          <t>SEC1_BOX12_NUM</t>
        </is>
      </c>
      <c r="E20" s="16">
        <f>CONCATENATE($D20,"_MODEL")</f>
        <v/>
      </c>
      <c r="F20" s="16">
        <f>CONCATENATE($D20,"_HORIZTONALDISPERSION")</f>
        <v/>
      </c>
      <c r="G20" s="16">
        <f>CONCATENATE($D20,"_ANGLE")</f>
        <v/>
      </c>
      <c r="H20" s="16">
        <f>CONCATENATE($D20,"_CIRCUIT")</f>
        <v/>
      </c>
      <c r="I20" s="16">
        <f>CONCATENATE($D20,"_NFC")</f>
        <v/>
      </c>
      <c r="K20" s="15" t="inlineStr">
        <is>
          <t>Angle (B)</t>
        </is>
      </c>
    </row>
    <row r="21">
      <c r="D21" s="16" t="inlineStr">
        <is>
          <t>SEC1_BOX13_NUM</t>
        </is>
      </c>
      <c r="E21" s="16">
        <f>CONCATENATE($D21,"_MODEL")</f>
        <v/>
      </c>
      <c r="F21" s="16">
        <f>CONCATENATE($D21,"_HORIZTONALDISPERSION")</f>
        <v/>
      </c>
      <c r="G21" s="16">
        <f>CONCATENATE($D21,"_ANGLE")</f>
        <v/>
      </c>
      <c r="H21" s="16">
        <f>CONCATENATE($D21,"_CIRCUIT")</f>
        <v/>
      </c>
      <c r="I21" s="16">
        <f>CONCATENATE($D21,"_NFC")</f>
        <v/>
      </c>
      <c r="K21" s="17" t="inlineStr">
        <is>
          <t>SEC1_ANGLEBOTTOM</t>
        </is>
      </c>
    </row>
    <row r="22">
      <c r="D22" s="16" t="inlineStr">
        <is>
          <t>SEC1_BOX14_NUM</t>
        </is>
      </c>
      <c r="E22" s="16">
        <f>CONCATENATE($D22,"_MODEL")</f>
        <v/>
      </c>
      <c r="F22" s="16">
        <f>CONCATENATE($D22,"_HORIZTONALDISPERSION")</f>
        <v/>
      </c>
      <c r="G22" s="16">
        <f>CONCATENATE($D22,"_ANGLE")</f>
        <v/>
      </c>
      <c r="H22" s="16">
        <f>CONCATENATE($D22,"_CIRCUIT")</f>
        <v/>
      </c>
      <c r="I22" s="16">
        <f>CONCATENATE($D22,"_NFC")</f>
        <v/>
      </c>
      <c r="K22" s="15" t="inlineStr">
        <is>
          <t>Pick (F)</t>
        </is>
      </c>
    </row>
    <row r="23">
      <c r="D23" s="16" t="inlineStr">
        <is>
          <t>SEC1_BOX15_NUM</t>
        </is>
      </c>
      <c r="E23" s="16">
        <f>CONCATENATE($D23,"_MODEL")</f>
        <v/>
      </c>
      <c r="F23" s="16">
        <f>CONCATENATE($D23,"_HORIZTONALDISPERSION")</f>
        <v/>
      </c>
      <c r="G23" s="16">
        <f>CONCATENATE($D23,"_ANGLE")</f>
        <v/>
      </c>
      <c r="H23" s="16">
        <f>CONCATENATE($D23,"_CIRCUIT")</f>
        <v/>
      </c>
      <c r="I23" s="16">
        <f>CONCATENATE($D23,"_NFC")</f>
        <v/>
      </c>
      <c r="K23" s="17" t="inlineStr">
        <is>
          <t>SEC1_PICKFRONT</t>
        </is>
      </c>
    </row>
    <row r="24">
      <c r="D24" s="16" t="inlineStr">
        <is>
          <t>SEC1_BOX16_NUM</t>
        </is>
      </c>
      <c r="E24" s="16">
        <f>CONCATENATE($D24,"_MODEL")</f>
        <v/>
      </c>
      <c r="F24" s="16">
        <f>CONCATENATE($D24,"_HORIZTONALDISPERSION")</f>
        <v/>
      </c>
      <c r="G24" s="16">
        <f>CONCATENATE($D24,"_ANGLE")</f>
        <v/>
      </c>
      <c r="H24" s="16">
        <f>CONCATENATE($D24,"_CIRCUIT")</f>
        <v/>
      </c>
      <c r="I24" s="16">
        <f>CONCATENATE($D24,"_NFC")</f>
        <v/>
      </c>
      <c r="K24" s="15" t="inlineStr">
        <is>
          <t>Wt (F)</t>
        </is>
      </c>
    </row>
    <row r="25">
      <c r="K25" s="17" t="inlineStr">
        <is>
          <t>SEC1_WEIGHTFRONT</t>
        </is>
      </c>
    </row>
    <row r="26">
      <c r="K26" s="15" t="inlineStr">
        <is>
          <t>Pick (R)</t>
        </is>
      </c>
    </row>
    <row r="27">
      <c r="K27" s="17" t="inlineStr">
        <is>
          <t>SEC1_PICKREAR</t>
        </is>
      </c>
    </row>
    <row r="28">
      <c r="K28" s="15" t="inlineStr">
        <is>
          <t>Wt (R)</t>
        </is>
      </c>
    </row>
    <row r="29">
      <c r="K29" s="17" t="inlineStr">
        <is>
          <t>SEC1_WEIGHTREAR</t>
        </is>
      </c>
    </row>
  </sheetData>
  <mergeCells count="2">
    <mergeCell ref="B1:N5"/>
    <mergeCell ref="D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2026-07-07T04:28:25Z</dcterms:created>
  <dcterms:modified xsi:type="dcterms:W3CDTF">2026-08-13T22:47:12Z</dcterms:modified>
</cp:coreProperties>
</file>